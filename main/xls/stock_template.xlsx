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ython\vetis_tools\main\xls\"/>
    </mc:Choice>
  </mc:AlternateContent>
  <xr:revisionPtr revIDLastSave="0" documentId="13_ncr:1_{44E28089-EDE0-4483-839B-F05073556893}" xr6:coauthVersionLast="47" xr6:coauthVersionMax="47" xr10:uidLastSave="{00000000-0000-0000-0000-000000000000}"/>
  <bookViews>
    <workbookView xWindow="28680" yWindow="-120" windowWidth="29040" windowHeight="15720" activeTab="1" xr2:uid="{E00D4390-7223-4615-B085-48A3A81733E7}"/>
  </bookViews>
  <sheets>
    <sheet name="data" sheetId="1" r:id="rId1"/>
    <sheet name="Сводная" sheetId="2" r:id="rId2"/>
  </sheets>
  <definedNames>
    <definedName name="_xlnm.Print_Titles" localSheetId="1">Сводная!$7:$7</definedName>
  </definedNames>
  <calcPr calcId="191029"/>
  <pivotCaches>
    <pivotCache cacheId="26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A2" i="2" a="1"/>
  <c r="A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<sst xmlns="http://schemas.openxmlformats.org/spreadsheetml/2006/main" count="50" uniqueCount="31">
  <si>
    <t>ХС</t>
  </si>
  <si>
    <t>Предприятие</t>
  </si>
  <si>
    <t>Группа</t>
  </si>
  <si>
    <t>Номер записи</t>
  </si>
  <si>
    <t>Наименование продукции</t>
  </si>
  <si>
    <t>Источник</t>
  </si>
  <si>
    <t>Дата поступления</t>
  </si>
  <si>
    <t>Статус</t>
  </si>
  <si>
    <t>ЕИ</t>
  </si>
  <si>
    <t>Остаток</t>
  </si>
  <si>
    <t>Выработано</t>
  </si>
  <si>
    <t>Годен до</t>
  </si>
  <si>
    <t>Объем</t>
  </si>
  <si>
    <t>Меркурий</t>
  </si>
  <si>
    <t>ООО "Меркурий" (Российская Федерация, г. Севастополь, Хрусталева ул., д. здание 76ж/1, стр. 1)</t>
  </si>
  <si>
    <t>49093132205</t>
  </si>
  <si>
    <t>Гашение ВСД</t>
  </si>
  <si>
    <t>Мороженая пищевая рыбная продукция.Нерка дальневосточная потрошенная обезглавленная мороженая глазированная 1/20 кг</t>
  </si>
  <si>
    <t>кг</t>
  </si>
  <si>
    <t>12.07.2022 - 07.08.2022</t>
  </si>
  <si>
    <t>07.08.2024</t>
  </si>
  <si>
    <t>ЧЕРНОМОРЕЦ ИВАН ИВАНОВИЧ (561015332235) / ИП Черноморец Иван Иванович (Российская Федерация, г. Севастополь, Индустриальная ул., д. 16)</t>
  </si>
  <si>
    <t>Нерка</t>
  </si>
  <si>
    <t>Срок годности</t>
  </si>
  <si>
    <t>Тип продукции</t>
  </si>
  <si>
    <t>Рыба и морепродукты</t>
  </si>
  <si>
    <t>Обновлено:</t>
  </si>
  <si>
    <t>(Все)</t>
  </si>
  <si>
    <t>Общий итог</t>
  </si>
  <si>
    <t>Нерка Итог</t>
  </si>
  <si>
    <t>_остаток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</si>
</sst>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6" x14ac:knownFonts="1">
    <font>
      <sz val="11"/>
      <color theme="1"/>
      <name val="Aptos Narrow"/>
      <family val="2"/>
      <charset val="204"/>
      <scheme val="minor"/>
    </font>
    <font>
      <b/>
      <i/>
      <sz val="11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 tint="0.499984740745262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0" borderId="6" xfId="0" pivotButton="1" applyBorder="1"/>
    <xf numFmtId="0" fontId="0" fillId="0" borderId="6" xfId="0" applyBorder="1"/>
    <xf numFmtId="49" fontId="1" fillId="0" borderId="0" xfId="0" applyNumberFormat="1" applyFont="1"/>
    <xf numFmtId="0" fontId="2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3" borderId="4" xfId="0" applyFill="1" applyBorder="1"/>
    <xf numFmtId="0" fontId="0" fillId="3" borderId="5" xfId="0" applyFill="1" applyBorder="1"/>
    <xf numFmtId="0" fontId="3" fillId="0" borderId="1" xfId="0" pivotButton="1" applyFont="1" applyBorder="1"/>
    <xf numFmtId="0" fontId="4" fillId="0" borderId="1" xfId="0" applyFont="1" applyBorder="1"/>
    <xf numFmtId="0" fontId="5" fillId="0" borderId="3" xfId="0" applyFont="1" applyBorder="1"/>
    <xf numFmtId="0" fontId="5" fillId="2" borderId="3" xfId="0" applyFont="1" applyFill="1" applyBorder="1"/>
    <xf numFmtId="0" fontId="5" fillId="3" borderId="6" xfId="0" applyFont="1" applyFill="1" applyBorder="1"/>
    <xf numFmtId="0" fontId="3" fillId="0" borderId="3" xfId="0" applyFont="1" applyBorder="1" applyAlignment="1">
      <alignment horizontal="right"/>
    </xf>
  </cellXfs>
  <cellStyles count="1">
    <cellStyle name="Обычный" xfId="0" builtinId="0"/>
  </cellStyles>
  <dxfs count="28">
    <dxf>
      <alignment horizontal="right"/>
    </dxf>
    <dxf>
      <alignment horizontal="right"/>
    </dxf>
    <dxf>
      <font>
        <b/>
      </font>
    </dxf>
    <dxf>
      <font>
        <color theme="1" tint="0.499984740745262"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ill>
        <patternFill patternType="solid">
          <bgColor rgb="FFFFFF00"/>
        </patternFill>
      </fill>
    </dxf>
    <dxf>
      <fill>
        <patternFill patternType="solid">
          <bgColor theme="9" tint="0.79998168889431442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vel" refreshedDate="45985.596929861109" createdVersion="8" refreshedVersion="8" minRefreshableVersion="3" recordCount="1" xr:uid="{5539164E-E57E-4F01-9C4A-AADEE2F83270}">
  <cacheSource type="worksheet">
    <worksheetSource name="stock_entries"/>
  </cacheSource>
  <cacheFields count="15">
    <cacheField name="ХС" numFmtId="49">
      <sharedItems count="1">
        <s v="Меркурий"/>
      </sharedItems>
    </cacheField>
    <cacheField name="Предприятие" numFmtId="49">
      <sharedItems count="1">
        <s v="ООО &quot;Меркурий&quot; (Российская Федерация, г. Севастополь, Хрусталева ул., д. здание 76ж/1, стр. 1)"/>
      </sharedItems>
    </cacheField>
    <cacheField name="Номер записи" numFmtId="49">
      <sharedItems count="1">
        <s v="49093132205"/>
      </sharedItems>
    </cacheField>
    <cacheField name="Дата поступления" numFmtId="14">
      <sharedItems containsSemiMixedTypes="0" containsNonDate="0" containsDate="1" containsString="0" minDate="2024-05-22T00:00:00" maxDate="2024-05-23T00:00:00"/>
    </cacheField>
    <cacheField name="Статус" numFmtId="49">
      <sharedItems count="1">
        <s v="Гашение ВСД"/>
      </sharedItems>
    </cacheField>
    <cacheField name="Наименование продукции" numFmtId="49">
      <sharedItems count="1">
        <s v="Мороженая пищевая рыбная продукция.Нерка дальневосточная потрошенная обезглавленная мороженая глазированная 1/20 кг"/>
      </sharedItems>
    </cacheField>
    <cacheField name="ЕИ" numFmtId="49">
      <sharedItems count="1">
        <s v="кг"/>
      </sharedItems>
    </cacheField>
    <cacheField name="Объем" numFmtId="0">
      <sharedItems containsSemiMixedTypes="0" containsString="0" containsNumber="1" containsInteger="1" minValue="77" maxValue="77" count="1">
        <n v="77"/>
      </sharedItems>
    </cacheField>
    <cacheField name="Остаток" numFmtId="0">
      <sharedItems containsSemiMixedTypes="0" containsString="0" containsNumber="1" minValue="70.5" maxValue="70.5"/>
    </cacheField>
    <cacheField name="Выработано" numFmtId="49">
      <sharedItems count="1">
        <s v="12.07.2022 - 07.08.2022"/>
      </sharedItems>
    </cacheField>
    <cacheField name="Годен до" numFmtId="49">
      <sharedItems count="1">
        <s v="07.08.2024"/>
      </sharedItems>
    </cacheField>
    <cacheField name="Срок годности" numFmtId="14">
      <sharedItems containsSemiMixedTypes="0" containsNonDate="0" containsDate="1" containsString="0" minDate="2024-08-07T00:00:00" maxDate="2024-08-08T00:00:00" count="1">
        <d v="2024-08-07T00:00:00"/>
      </sharedItems>
    </cacheField>
    <cacheField name="Источник" numFmtId="49">
      <sharedItems count="1">
        <s v="ЧЕРНОМОРЕЦ ИВАН ИВАНОВИЧ (561015332235) / ИП Черноморец Иван Иванович (Российская Федерация, г. Севастополь, Индустриальная ул., д. 16)"/>
      </sharedItems>
    </cacheField>
    <cacheField name="Группа" numFmtId="49">
      <sharedItems count="1">
        <s v="Нерка"/>
      </sharedItems>
    </cacheField>
    <cacheField name="Тип продукции" numFmtId="49">
      <sharedItems count="1">
        <s v="Рыба и морепродукты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x v="0"/>
    <x v="0"/>
    <d v="2024-05-22T00:00:00"/>
    <x v="0"/>
    <x v="0"/>
    <x v="0"/>
    <x v="0"/>
    <n v="70.5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63A2FC-837D-49EA-A736-E14D9CF8FE9D}" name="Сводная таблица5" cacheId="261" applyNumberFormats="0" applyBorderFormats="0" applyFontFormats="0" applyPatternFormats="0" applyAlignmentFormats="0" applyWidthHeightFormats="1" dataCaption="Значения" updatedVersion="8" minRefreshableVersion="3" itemPrintTitles="1" createdVersion="8" indent="0" compact="0" compactData="0" multipleFieldFilters="0">
  <location ref="A7:J10" firstHeaderRow="1" firstDataRow="1" firstDataCol="9" rowPageCount="2" colPageCount="1"/>
  <pivotFields count="15">
    <pivotField compact="0" outline="0" showAll="0" defaultSubtotal="0">
      <items count="1">
        <item x="0"/>
      </items>
    </pivotField>
    <pivotField compact="0" outline="0" showAll="0" defaultSubtotal="0">
      <items count="1">
        <item x="0"/>
      </items>
    </pivotField>
    <pivotField axis="axisRow" compact="0" outline="0" showAll="0" sortType="ascending" defaultSubtotal="0">
      <items count="1">
        <item x="0"/>
      </items>
    </pivotField>
    <pivotField compact="0" numFmtId="14" outline="0" showAll="0" defaultSubtotal="0"/>
    <pivotField axis="axisPage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numFmtId="14" outline="0" showAll="0" sortType="ascending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sortType="ascending">
      <items count="2">
        <item x="0"/>
        <item t="default"/>
      </items>
    </pivotField>
    <pivotField axis="axisPage" compact="0" outline="0" showAll="0" defaultSubtotal="0">
      <items count="1">
        <item x="0"/>
      </items>
    </pivotField>
  </pivotFields>
  <rowFields count="9">
    <field x="13"/>
    <field x="11"/>
    <field x="2"/>
    <field x="5"/>
    <field x="12"/>
    <field x="9"/>
    <field x="10"/>
    <field x="6"/>
    <field x="7"/>
  </rowFields>
  <rowItems count="3">
    <i>
      <x/>
      <x/>
      <x/>
      <x/>
      <x/>
      <x/>
      <x/>
      <x/>
      <x/>
    </i>
    <i t="default">
      <x/>
    </i>
    <i t="grand">
      <x/>
    </i>
  </rowItems>
  <colItems count="1">
    <i/>
  </colItems>
  <pageFields count="2">
    <pageField fld="4" hier="-1"/>
    <pageField fld="14" hier="-1"/>
  </pageFields>
  <dataFields count="1">
    <dataField name="_остаток" fld="8" baseField="0" baseItem="0"/>
  </dataFields>
  <formats count="15">
    <format dxfId="15">
      <pivotArea dataOnly="0" outline="0" fieldPosition="0">
        <references count="1">
          <reference field="13" count="0" defaultSubtotal="1"/>
        </references>
      </pivotArea>
    </format>
    <format dxfId="14">
      <pivotArea dataOnly="0" grandRow="1" outline="0" fieldPosition="0"/>
    </format>
    <format dxfId="13">
      <pivotArea field="13" type="button" dataOnly="0" labelOnly="1" outline="0" axis="axisRow" fieldPosition="0"/>
    </format>
    <format dxfId="12">
      <pivotArea field="11" type="button" dataOnly="0" labelOnly="1" outline="0" axis="axisRow" fieldPosition="1"/>
    </format>
    <format dxfId="11">
      <pivotArea field="2" type="button" dataOnly="0" labelOnly="1" outline="0" axis="axisRow" fieldPosition="2"/>
    </format>
    <format dxfId="10">
      <pivotArea field="5" type="button" dataOnly="0" labelOnly="1" outline="0" axis="axisRow" fieldPosition="3"/>
    </format>
    <format dxfId="9">
      <pivotArea field="12" type="button" dataOnly="0" labelOnly="1" outline="0" axis="axisRow" fieldPosition="4"/>
    </format>
    <format dxfId="8">
      <pivotArea field="9" type="button" dataOnly="0" labelOnly="1" outline="0" axis="axisRow" fieldPosition="5"/>
    </format>
    <format dxfId="7">
      <pivotArea field="10" type="button" dataOnly="0" labelOnly="1" outline="0" axis="axisRow" fieldPosition="6"/>
    </format>
    <format dxfId="6">
      <pivotArea field="6" type="button" dataOnly="0" labelOnly="1" outline="0" axis="axisRow" fieldPosition="7"/>
    </format>
    <format dxfId="5">
      <pivotArea field="7" type="button" dataOnly="0" labelOnly="1" outline="0" axis="axisRow" fieldPosition="8"/>
    </format>
    <format dxfId="4">
      <pivotArea dataOnly="0" labelOnly="1" outline="0" axis="axisValues" fieldPosition="0"/>
    </format>
    <format dxfId="3">
      <pivotArea dataOnly="0" labelOnly="1" outline="0" fieldPosition="0">
        <references count="1">
          <reference field="7" count="0"/>
        </references>
      </pivotArea>
    </format>
    <format dxfId="2">
      <pivotArea outline="0" collapsedLevelsAreSubtotals="1" fieldPosition="0"/>
    </format>
    <format dxfId="1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CE5EDC-E616-4323-8252-5B9BFC562F48}" name="stock_entries" displayName="stock_entries" ref="A3:O4" totalsRowShown="0">
  <autoFilter ref="A3:O4" xr:uid="{9CCE5EDC-E616-4323-8252-5B9BFC562F48}"/>
  <tableColumns count="15">
    <tableColumn id="1" xr3:uid="{13394211-5500-42E1-A77B-D293BBEF5E7D}" name="ХС" dataDxfId="27"/>
    <tableColumn id="2" xr3:uid="{D555ACB0-C6DB-4DAD-9FCB-0055E2D7F67E}" name="Предприятие" dataDxfId="26"/>
    <tableColumn id="3" xr3:uid="{F58CC30E-00B0-404B-860A-041B951A39A2}" name="Номер записи" dataDxfId="25"/>
    <tableColumn id="4" xr3:uid="{1EB776CC-459B-413E-97C4-4E7B391D4ABD}" name="Дата поступления"/>
    <tableColumn id="5" xr3:uid="{F5018B71-950D-42E0-B090-1AFFEE92A2B5}" name="Статус" dataDxfId="24"/>
    <tableColumn id="6" xr3:uid="{BACC915B-588E-43D6-867A-E932EBF51052}" name="Наименование продукции" dataDxfId="23"/>
    <tableColumn id="7" xr3:uid="{3BC7CCE2-1202-4EE2-AA33-5FF1AE612230}" name="ЕИ" dataDxfId="22"/>
    <tableColumn id="8" xr3:uid="{E002A09B-902D-4864-A74B-8F4AF4FF9C7D}" name="Объем"/>
    <tableColumn id="9" xr3:uid="{3ACA75B5-E5E4-4281-9617-1B5DFD3028BC}" name="Остаток"/>
    <tableColumn id="10" xr3:uid="{093C570C-71A0-4DF4-95AE-924C7C16EBB5}" name="Выработано" dataDxfId="21"/>
    <tableColumn id="11" xr3:uid="{4AB3B47E-F1D0-48F3-945E-01AE0701D474}" name="Годен до" dataDxfId="20"/>
    <tableColumn id="14" xr3:uid="{2B135885-3ECC-49AE-B3E1-42FEDD6EA3BC}" name="Срок годности" dataDxfId="19"/>
    <tableColumn id="12" xr3:uid="{8902DB5E-9DCD-4CC5-8267-26F0CB697628}" name="Источник" dataDxfId="18"/>
    <tableColumn id="13" xr3:uid="{FC77A379-66DB-4CD5-A3A7-F39BD9D81087}" name="Группа" dataDxfId="17"/>
    <tableColumn id="15" xr3:uid="{12C7F003-DF72-4AAF-B3D8-5305C51288F6}" name="Тип продукции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86547-A36A-4FE4-8D01-ED1B417BAACB}">
  <dimension ref="A1:O4"/>
  <sheetViews>
    <sheetView workbookViewId="0">
      <selection activeCell="C4" sqref="C4"/>
    </sheetView>
  </sheetViews>
  <sheetFormatPr defaultRowHeight="15" x14ac:dyDescent="0.25"/>
  <cols>
    <col min="1" max="1" width="15.5703125" customWidth="1"/>
    <col min="2" max="2" width="36.5703125" customWidth="1"/>
    <col min="3" max="3" width="13.42578125" customWidth="1"/>
    <col min="4" max="4" width="11.7109375" customWidth="1"/>
    <col min="5" max="5" width="16.85546875" customWidth="1"/>
    <col min="6" max="6" width="38.7109375" customWidth="1"/>
    <col min="7" max="7" width="8" customWidth="1"/>
    <col min="8" max="8" width="10" customWidth="1"/>
    <col min="9" max="9" width="10.42578125" customWidth="1"/>
    <col min="10" max="12" width="15.140625" customWidth="1"/>
    <col min="13" max="13" width="32" customWidth="1"/>
    <col min="14" max="14" width="11.28515625" customWidth="1"/>
    <col min="15" max="15" width="15" customWidth="1"/>
  </cols>
  <sheetData>
    <row r="1" spans="1:15" x14ac:dyDescent="0.25">
      <c r="A1" t="s">
        <v>26</v>
      </c>
      <c r="B1" s="3">
        <v>45985.500173611108</v>
      </c>
    </row>
    <row r="3" spans="1:15" x14ac:dyDescent="0.25">
      <c r="A3" t="s">
        <v>0</v>
      </c>
      <c r="B3" t="s">
        <v>1</v>
      </c>
      <c r="C3" t="s">
        <v>3</v>
      </c>
      <c r="D3" t="s">
        <v>6</v>
      </c>
      <c r="E3" t="s">
        <v>7</v>
      </c>
      <c r="F3" t="s">
        <v>4</v>
      </c>
      <c r="G3" t="s">
        <v>8</v>
      </c>
      <c r="H3" t="s">
        <v>12</v>
      </c>
      <c r="I3" t="s">
        <v>9</v>
      </c>
      <c r="J3" t="s">
        <v>10</v>
      </c>
      <c r="K3" t="s">
        <v>11</v>
      </c>
      <c r="L3" t="s">
        <v>23</v>
      </c>
      <c r="M3" t="s">
        <v>5</v>
      </c>
      <c r="N3" t="s">
        <v>2</v>
      </c>
      <c r="O3" t="s">
        <v>24</v>
      </c>
    </row>
    <row r="4" spans="1:15" x14ac:dyDescent="0.25">
      <c r="A4" s="1" t="s">
        <v>13</v>
      </c>
      <c r="B4" s="1" t="s">
        <v>14</v>
      </c>
      <c r="C4" s="1" t="s">
        <v>15</v>
      </c>
      <c r="D4" s="2">
        <v>45434</v>
      </c>
      <c r="E4" s="1" t="s">
        <v>16</v>
      </c>
      <c r="F4" s="1" t="s">
        <v>17</v>
      </c>
      <c r="G4" s="1" t="s">
        <v>18</v>
      </c>
      <c r="H4">
        <v>77</v>
      </c>
      <c r="I4">
        <v>70.5</v>
      </c>
      <c r="J4" s="1" t="s">
        <v>19</v>
      </c>
      <c r="K4" s="1" t="s">
        <v>20</v>
      </c>
      <c r="L4" s="2">
        <v>45511</v>
      </c>
      <c r="M4" s="1" t="s">
        <v>21</v>
      </c>
      <c r="N4" s="1" t="s">
        <v>22</v>
      </c>
      <c r="O4" s="1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6A611-EE76-4704-8E1B-D0D9EBBCB502}">
  <sheetPr>
    <tabColor rgb="FFFFFF00"/>
    <pageSetUpPr fitToPage="1"/>
  </sheetPr>
  <dimension ref="A1:J10"/>
  <sheetViews>
    <sheetView showGridLines="0" tabSelected="1" workbookViewId="0">
      <pane ySplit="7" topLeftCell="A8" activePane="bottomLeft" state="frozen"/>
      <selection pane="bottomLeft" activeCell="F2" sqref="F2"/>
    </sheetView>
  </sheetViews>
  <sheetFormatPr defaultRowHeight="15" x14ac:dyDescent="0.25"/>
  <cols>
    <col min="1" max="1" width="19.28515625" customWidth="1"/>
    <col min="2" max="2" width="12.7109375" customWidth="1"/>
    <col min="3" max="3" width="15" customWidth="1"/>
    <col min="4" max="4" width="49.140625" customWidth="1"/>
    <col min="5" max="5" width="26.85546875" customWidth="1"/>
    <col min="6" max="7" width="22" customWidth="1"/>
    <col min="8" max="8" width="6.42578125" customWidth="1"/>
  </cols>
  <sheetData>
    <row r="1" spans="1:10" ht="18.75" x14ac:dyDescent="0.3">
      <c r="A1" s="9" t="str">
        <f>"Складской журнал по состоянию на " &amp; TEXT(data!B1,"ДД.ММ.ГГГГ  ЧЧ:ММ")</f>
        <v>Складской журнал по состоянию на 24.11.2025 12:00</v>
      </c>
    </row>
    <row r="2" spans="1:10" x14ac:dyDescent="0.25">
      <c r="A2" s="8" t="str" cm="1">
        <f t="array" ref="A2">stock_entries[Предприятие]</f>
        <v>ООО "Меркурий" (Российская Федерация, г. Севастополь, Хрусталева ул., д. здание 76ж/1, стр. 1)</v>
      </c>
    </row>
    <row r="4" spans="1:10" x14ac:dyDescent="0.25">
      <c r="A4" s="6" t="s">
        <v>7</v>
      </c>
      <c r="B4" s="7" t="s">
        <v>27</v>
      </c>
    </row>
    <row r="5" spans="1:10" x14ac:dyDescent="0.25">
      <c r="A5" s="6" t="s">
        <v>24</v>
      </c>
      <c r="B5" s="7" t="s">
        <v>27</v>
      </c>
    </row>
    <row r="7" spans="1:10" x14ac:dyDescent="0.25">
      <c r="A7" s="14" t="s">
        <v>2</v>
      </c>
      <c r="B7" s="14" t="s">
        <v>23</v>
      </c>
      <c r="C7" s="14" t="s">
        <v>3</v>
      </c>
      <c r="D7" s="14" t="s">
        <v>4</v>
      </c>
      <c r="E7" s="14" t="s">
        <v>5</v>
      </c>
      <c r="F7" s="14" t="s">
        <v>10</v>
      </c>
      <c r="G7" s="14" t="s">
        <v>11</v>
      </c>
      <c r="H7" s="14" t="s">
        <v>8</v>
      </c>
      <c r="I7" s="14" t="s">
        <v>12</v>
      </c>
      <c r="J7" s="19" t="s">
        <v>30</v>
      </c>
    </row>
    <row r="8" spans="1:10" x14ac:dyDescent="0.25">
      <c r="A8" s="4" t="s">
        <v>22</v>
      </c>
      <c r="B8" s="5">
        <v>45511</v>
      </c>
      <c r="C8" s="4" t="s">
        <v>15</v>
      </c>
      <c r="D8" s="4" t="s">
        <v>17</v>
      </c>
      <c r="E8" s="4" t="s">
        <v>21</v>
      </c>
      <c r="F8" s="4" t="s">
        <v>19</v>
      </c>
      <c r="G8" s="4" t="s">
        <v>20</v>
      </c>
      <c r="H8" s="4" t="s">
        <v>18</v>
      </c>
      <c r="I8" s="15">
        <v>77</v>
      </c>
      <c r="J8" s="16">
        <v>70.5</v>
      </c>
    </row>
    <row r="9" spans="1:10" x14ac:dyDescent="0.25">
      <c r="A9" s="10" t="s">
        <v>29</v>
      </c>
      <c r="B9" s="11"/>
      <c r="C9" s="11"/>
      <c r="D9" s="11"/>
      <c r="E9" s="11"/>
      <c r="F9" s="11"/>
      <c r="G9" s="11"/>
      <c r="H9" s="11"/>
      <c r="I9" s="11"/>
      <c r="J9" s="17">
        <v>70.5</v>
      </c>
    </row>
    <row r="10" spans="1:10" x14ac:dyDescent="0.25">
      <c r="A10" s="12" t="s">
        <v>28</v>
      </c>
      <c r="B10" s="13"/>
      <c r="C10" s="13"/>
      <c r="D10" s="13"/>
      <c r="E10" s="13"/>
      <c r="F10" s="13"/>
      <c r="G10" s="13"/>
      <c r="H10" s="13"/>
      <c r="I10" s="13"/>
      <c r="J10" s="18">
        <v>70.5</v>
      </c>
    </row>
  </sheetData>
  <pageMargins left="0.39370078740157483" right="0.39370078740157483" top="0.39370078740157483" bottom="0.39370078740157483" header="0" footer="0"/>
  <pageSetup paperSize="9" scale="68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data</vt:lpstr>
      <vt:lpstr>Сводная</vt:lpstr>
      <vt:lpstr>Сводная!Заголовки_для_печати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</dc:creator>
  <cp:lastModifiedBy>Pavel</cp:lastModifiedBy>
  <cp:lastPrinted>2025-11-24T11:25:45Z</cp:lastPrinted>
  <dcterms:created xsi:type="dcterms:W3CDTF">2025-11-24T08:28:13Z</dcterms:created>
  <dcterms:modified xsi:type="dcterms:W3CDTF">2025-11-24T11:37:33Z</dcterms:modified>
</cp:coreProperties>
</file>